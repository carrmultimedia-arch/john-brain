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Tracker" sheetId="1" r:id="rId5"/>
  </sheets>
  <definedNames/>
  <calcPr/>
</workbook>
</file>

<file path=xl/sharedStrings.xml><?xml version="1.0" encoding="utf-8"?>
<sst xmlns="http://schemas.openxmlformats.org/spreadsheetml/2006/main" count="34" uniqueCount="32">
  <si>
    <t>Total Assets</t>
  </si>
  <si>
    <t>Approved</t>
  </si>
  <si>
    <t>QA Pending</t>
  </si>
  <si>
    <t>Completion</t>
  </si>
  <si>
    <t>Asset ID</t>
  </si>
  <si>
    <t>Asset Type</t>
  </si>
  <si>
    <t>Module</t>
  </si>
  <si>
    <t>Lesson</t>
  </si>
  <si>
    <t>Scene / Page</t>
  </si>
  <si>
    <t>Source Chapter(s)</t>
  </si>
  <si>
    <t>Student Outcome</t>
  </si>
  <si>
    <t>File Name</t>
  </si>
  <si>
    <t>Google Drive URL</t>
  </si>
  <si>
    <t>Server Route</t>
  </si>
  <si>
    <t>Build Status</t>
  </si>
  <si>
    <t>LLM Used</t>
  </si>
  <si>
    <t>Last Updated</t>
  </si>
  <si>
    <t>QA Status</t>
  </si>
  <si>
    <t>Notes</t>
  </si>
  <si>
    <t>M01-L02-SC03</t>
  </si>
  <si>
    <t>Script</t>
  </si>
  <si>
    <t>Lesson title</t>
  </si>
  <si>
    <t>Exact scene number or route</t>
  </si>
  <si>
    <t>Master textbook chapters used</t>
  </si>
  <si>
    <t>What the learner should understand or do</t>
  </si>
  <si>
    <t>Exact current file name</t>
  </si>
  <si>
    <t>Link to source asset</t>
  </si>
  <si>
    <t>/camera-live/m1/diagnosis/</t>
  </si>
  <si>
    <t>Not started</t>
  </si>
  <si>
    <t>Claude</t>
  </si>
  <si>
    <t>Not tested</t>
  </si>
  <si>
    <t>Problems, future revisions, missing visual 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</si>
</sst>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2.0"/>
      <color rgb="FF27251E"/>
      <name val="Roboto"/>
    </font>
    <font>
      <b/>
      <sz val="11.0"/>
      <color rgb="FFFFFFFF"/>
      <name val="Roboto"/>
    </font>
    <font>
      <b/>
      <sz val="24.0"/>
      <color rgb="FF181C1F"/>
      <name val="Roboto"/>
    </font>
    <font>
      <b/>
      <sz val="10.0"/>
      <color rgb="FFFFFFFF"/>
      <name val="Roboto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A5F8F"/>
        <bgColor rgb="FF3A5F8F"/>
      </patternFill>
    </fill>
    <fill>
      <patternFill patternType="solid">
        <fgColor rgb="FFECECF4"/>
        <bgColor rgb="FFECECF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0" fillId="3" fontId="3" numFmtId="10" xfId="0" applyAlignment="1" applyFill="1" applyFont="1" applyNumberForma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164" xfId="0" applyAlignment="1" applyFont="1" applyNumberFormat="1">
      <alignment readingOrder="0"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</cellXfs>
  <cellStyles count="1">
    <cellStyle xfId="0" name="Normal" builtinId="0"/>
  </cellStyles>
  <dxfs count="6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8EAD2"/>
          <bgColor rgb="FFD8EAD2"/>
        </patternFill>
      </fill>
      <border/>
    </dxf>
    <dxf>
      <font/>
      <fill>
        <patternFill patternType="solid">
          <fgColor rgb="FFC8DAF8"/>
          <bgColor rgb="FFC8DAF8"/>
        </patternFill>
      </fill>
      <border/>
    </dxf>
    <dxf>
      <font/>
      <fill>
        <patternFill patternType="solid">
          <fgColor rgb="FFFBE4CD"/>
          <bgColor rgb="FFFBE4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12.0"/>
    <col customWidth="1" min="3" max="3" width="9.38"/>
    <col customWidth="1" min="4" max="4" width="10.75"/>
    <col customWidth="1" min="5" max="5" width="12.0"/>
    <col customWidth="1" min="6" max="6" width="21.63"/>
    <col customWidth="1" min="7" max="7" width="23.38"/>
    <col customWidth="1" min="8" max="8" width="30.75"/>
    <col customWidth="1" min="9" max="9" width="17.5"/>
    <col customWidth="1" min="10" max="10" width="15.38"/>
    <col customWidth="1" min="11" max="11" width="21.25"/>
    <col customWidth="1" min="12" max="12" width="11.63"/>
    <col customWidth="1" min="13" max="13" width="8.5"/>
    <col customWidth="1" min="14" max="14" width="11.13"/>
    <col customWidth="1" min="15" max="15" width="11.0"/>
    <col customWidth="1" min="16" max="16" width="35.13"/>
  </cols>
  <sheetData>
    <row r="1" ht="6.75" customHeight="1"/>
    <row r="2">
      <c r="A2" s="1"/>
      <c r="B2" s="2" t="s">
        <v>0</v>
      </c>
      <c r="C2" s="2" t="s">
        <v>1</v>
      </c>
      <c r="D2" s="2" t="s">
        <v>2</v>
      </c>
      <c r="E2" s="2" t="s">
        <v>3</v>
      </c>
    </row>
    <row r="3">
      <c r="B3" s="3">
        <f>COUNTA(B7:B100)</f>
        <v>1</v>
      </c>
      <c r="C3" s="3">
        <f>COUNTIF(L7:L100, "Approved") + COUNTIF(L7:L100, "Deployed")</f>
        <v>0</v>
      </c>
      <c r="D3" s="3">
        <f>COUNTIF(O7:O100, "Not tested")</f>
        <v>2</v>
      </c>
      <c r="E3" s="4">
        <f>IF(B3=0, 0, C3/B3)</f>
        <v>0</v>
      </c>
    </row>
    <row r="6" ht="26.25" customHeight="1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</row>
    <row r="7" ht="26.25" customHeight="1">
      <c r="B7" s="6" t="s">
        <v>19</v>
      </c>
      <c r="C7" s="6" t="s">
        <v>20</v>
      </c>
      <c r="D7" s="6">
        <v>1.0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  <c r="M7" s="6" t="s">
        <v>29</v>
      </c>
      <c r="N7" s="7">
        <v>45292.0</v>
      </c>
      <c r="O7" s="6" t="s">
        <v>30</v>
      </c>
      <c r="P7" s="6" t="s">
        <v>31</v>
      </c>
    </row>
    <row r="8" ht="26.25" customHeight="1">
      <c r="B8" s="8"/>
      <c r="C8" s="8"/>
      <c r="D8" s="8"/>
      <c r="E8" s="8"/>
      <c r="F8" s="8"/>
      <c r="G8" s="8"/>
      <c r="H8" s="8"/>
      <c r="I8" s="8"/>
      <c r="J8" s="8"/>
      <c r="K8" s="8"/>
      <c r="L8" s="6" t="s">
        <v>28</v>
      </c>
      <c r="M8" s="8"/>
      <c r="N8" s="9"/>
      <c r="O8" s="6" t="s">
        <v>30</v>
      </c>
      <c r="P8" s="8"/>
    </row>
    <row r="9" ht="26.25" customHeigh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8"/>
      <c r="P9" s="8"/>
    </row>
    <row r="10" ht="26.25" customHeight="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9"/>
      <c r="O10" s="8"/>
      <c r="P10" s="8"/>
    </row>
    <row r="11" ht="26.25" customHeight="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9"/>
      <c r="O11" s="8"/>
      <c r="P11" s="8"/>
    </row>
    <row r="12" ht="26.25" customHeight="1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/>
      <c r="O12" s="8"/>
      <c r="P12" s="8"/>
    </row>
    <row r="13" ht="26.25" customHeight="1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  <c r="O13" s="8"/>
      <c r="P13" s="8"/>
    </row>
    <row r="14" ht="26.25" customHeight="1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9"/>
      <c r="O14" s="8"/>
      <c r="P14" s="8"/>
    </row>
    <row r="15" ht="26.25" customHeight="1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9"/>
      <c r="O15" s="8"/>
      <c r="P15" s="8"/>
    </row>
    <row r="16" ht="26.25" customHeight="1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  <c r="O16" s="8"/>
      <c r="P16" s="8"/>
    </row>
    <row r="17" ht="26.25" customHeight="1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9"/>
      <c r="O17" s="8"/>
      <c r="P17" s="8"/>
    </row>
    <row r="18" ht="26.25" customHeight="1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9"/>
      <c r="O18" s="8"/>
      <c r="P18" s="8"/>
    </row>
    <row r="19" ht="26.25" customHeight="1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9"/>
      <c r="O19" s="8"/>
      <c r="P19" s="8"/>
    </row>
    <row r="20" ht="26.25" customHeight="1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/>
      <c r="O20" s="8"/>
      <c r="P20" s="8"/>
    </row>
    <row r="21" ht="26.25" customHeight="1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8"/>
      <c r="P21" s="8"/>
    </row>
    <row r="22" ht="26.25" customHeight="1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/>
      <c r="O22" s="8"/>
      <c r="P22" s="8"/>
    </row>
    <row r="23" ht="26.25" customHeight="1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  <c r="O23" s="8"/>
      <c r="P23" s="8"/>
    </row>
    <row r="24" ht="26.25" customHeight="1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9"/>
      <c r="O24" s="8"/>
      <c r="P24" s="8"/>
    </row>
    <row r="25" ht="26.25" customHeight="1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  <c r="O25" s="8"/>
      <c r="P25" s="8"/>
    </row>
    <row r="26" ht="26.25" customHeight="1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9"/>
      <c r="O26" s="8"/>
      <c r="P26" s="8"/>
    </row>
    <row r="27" ht="26.25" customHeight="1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/>
      <c r="O27" s="8"/>
      <c r="P27" s="8"/>
    </row>
    <row r="28" ht="26.25" customHeigh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9"/>
      <c r="O28" s="8"/>
      <c r="P28" s="8"/>
    </row>
    <row r="29" ht="26.25" customHeight="1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9"/>
      <c r="O29" s="8"/>
      <c r="P29" s="8"/>
    </row>
    <row r="30" ht="26.25" customHeight="1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8"/>
      <c r="P30" s="8"/>
    </row>
    <row r="31" ht="26.25" customHeight="1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8"/>
      <c r="P31" s="8"/>
    </row>
    <row r="32" ht="26.25" customHeight="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9"/>
      <c r="O32" s="8"/>
      <c r="P32" s="8"/>
    </row>
    <row r="33" ht="26.25" customHeight="1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9"/>
      <c r="O33" s="8"/>
      <c r="P33" s="8"/>
    </row>
    <row r="34" ht="26.25" customHeight="1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8"/>
      <c r="P34" s="8"/>
    </row>
    <row r="35" ht="26.25" customHeight="1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  <c r="O35" s="8"/>
      <c r="P35" s="8"/>
    </row>
    <row r="36" ht="26.25" customHeight="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  <c r="O36" s="8"/>
      <c r="P36" s="8"/>
    </row>
    <row r="37" ht="26.25" customHeight="1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9"/>
      <c r="O37" s="8"/>
      <c r="P37" s="8"/>
    </row>
    <row r="38" ht="26.25" customHeight="1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  <c r="O38" s="8"/>
      <c r="P38" s="8"/>
    </row>
    <row r="39" ht="26.25" customHeight="1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"/>
      <c r="O39" s="8"/>
      <c r="P39" s="8"/>
    </row>
    <row r="40" ht="26.25" customHeight="1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9"/>
      <c r="O40" s="8"/>
      <c r="P40" s="8"/>
    </row>
    <row r="41" ht="26.25" customHeight="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9"/>
      <c r="O41" s="8"/>
      <c r="P41" s="8"/>
    </row>
    <row r="42" ht="26.25" customHeight="1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"/>
      <c r="O42" s="8"/>
      <c r="P42" s="8"/>
    </row>
    <row r="43" ht="26.25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9"/>
      <c r="O43" s="8"/>
      <c r="P43" s="8"/>
    </row>
    <row r="44" ht="26.25" customHeight="1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"/>
      <c r="O44" s="8"/>
      <c r="P44" s="8"/>
    </row>
    <row r="45" ht="26.25" customHeight="1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9"/>
      <c r="O45" s="8"/>
      <c r="P45" s="8"/>
    </row>
    <row r="46" ht="26.25" customHeight="1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9"/>
      <c r="O46" s="8"/>
      <c r="P46" s="8"/>
    </row>
    <row r="47" ht="26.25" customHeight="1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9"/>
      <c r="O47" s="8"/>
      <c r="P47" s="8"/>
    </row>
    <row r="48" ht="26.25" customHeigh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</row>
    <row r="49" ht="26.25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</row>
    <row r="50" ht="26.25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9"/>
      <c r="O50" s="8"/>
      <c r="P50" s="8"/>
    </row>
    <row r="51" ht="26.25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9"/>
      <c r="O51" s="8"/>
      <c r="P51" s="8"/>
    </row>
    <row r="52" ht="26.25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9"/>
      <c r="O52" s="8"/>
      <c r="P52" s="8"/>
    </row>
    <row r="53" ht="26.25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9"/>
      <c r="O53" s="8"/>
      <c r="P53" s="8"/>
    </row>
    <row r="54" ht="26.25" customHeight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9"/>
      <c r="O54" s="8"/>
      <c r="P54" s="8"/>
    </row>
    <row r="55" ht="26.25" customHeight="1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9"/>
      <c r="O55" s="8"/>
      <c r="P55" s="8"/>
    </row>
    <row r="56" ht="26.25" customHeight="1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9"/>
      <c r="O56" s="8"/>
      <c r="P56" s="8"/>
    </row>
    <row r="57" ht="26.25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9"/>
      <c r="O57" s="8"/>
      <c r="P57" s="8"/>
    </row>
    <row r="58" ht="26.25" customHeight="1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9"/>
      <c r="O58" s="8"/>
      <c r="P58" s="8"/>
    </row>
    <row r="59" ht="26.25" customHeight="1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9"/>
      <c r="O59" s="8"/>
      <c r="P59" s="8"/>
    </row>
    <row r="60" ht="26.25" customHeight="1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9"/>
      <c r="O60" s="8"/>
      <c r="P60" s="8"/>
    </row>
    <row r="61" ht="26.25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9"/>
      <c r="O61" s="8"/>
      <c r="P61" s="8"/>
    </row>
    <row r="62" ht="26.25" customHeigh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9"/>
      <c r="O62" s="8"/>
      <c r="P62" s="8"/>
    </row>
    <row r="63" ht="26.25" customHeight="1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9"/>
      <c r="O63" s="8"/>
      <c r="P63" s="8"/>
    </row>
    <row r="64" ht="26.25" customHeight="1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9"/>
      <c r="O64" s="8"/>
      <c r="P64" s="8"/>
    </row>
    <row r="65" ht="26.25" customHeight="1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9"/>
      <c r="O65" s="8"/>
      <c r="P65" s="8"/>
    </row>
    <row r="66" ht="26.25" customHeight="1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9"/>
      <c r="O66" s="8"/>
      <c r="P66" s="8"/>
    </row>
    <row r="67" ht="26.25" customHeight="1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9"/>
      <c r="O67" s="8"/>
      <c r="P67" s="8"/>
    </row>
    <row r="68" ht="26.25" customHeight="1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9"/>
      <c r="O68" s="8"/>
      <c r="P68" s="8"/>
    </row>
    <row r="69" ht="26.25" customHeight="1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9"/>
      <c r="O69" s="8"/>
      <c r="P69" s="8"/>
    </row>
    <row r="70" ht="26.25" customHeight="1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9"/>
      <c r="O70" s="8"/>
      <c r="P70" s="8"/>
    </row>
    <row r="71" ht="26.25" customHeigh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9"/>
      <c r="O71" s="8"/>
      <c r="P71" s="8"/>
    </row>
    <row r="72" ht="26.25" customHeight="1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9"/>
      <c r="O72" s="8"/>
      <c r="P72" s="8"/>
    </row>
    <row r="73" ht="26.25" customHeight="1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9"/>
      <c r="O73" s="8"/>
      <c r="P73" s="8"/>
    </row>
    <row r="74" ht="26.25" customHeight="1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9"/>
      <c r="O74" s="8"/>
      <c r="P74" s="8"/>
    </row>
    <row r="75" ht="26.25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9"/>
      <c r="O75" s="8"/>
      <c r="P75" s="8"/>
    </row>
    <row r="76" ht="26.25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9"/>
      <c r="O76" s="8"/>
      <c r="P76" s="8"/>
    </row>
    <row r="77" ht="26.25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9"/>
      <c r="O77" s="8"/>
      <c r="P77" s="8"/>
    </row>
    <row r="78" ht="26.25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9"/>
      <c r="O78" s="8"/>
      <c r="P78" s="8"/>
    </row>
    <row r="79" ht="26.25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9"/>
      <c r="O79" s="8"/>
      <c r="P79" s="8"/>
    </row>
    <row r="80" ht="26.25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9"/>
      <c r="O80" s="8"/>
      <c r="P80" s="8"/>
    </row>
    <row r="81" ht="26.25" customHeight="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9"/>
      <c r="O81" s="8"/>
      <c r="P81" s="8"/>
    </row>
    <row r="82" ht="26.25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9"/>
      <c r="O82" s="8"/>
      <c r="P82" s="8"/>
    </row>
    <row r="83" ht="26.25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9"/>
      <c r="O83" s="8"/>
      <c r="P83" s="8"/>
    </row>
    <row r="84" ht="26.25" customHeight="1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9"/>
      <c r="O84" s="8"/>
      <c r="P84" s="8"/>
    </row>
    <row r="85" ht="26.25" customHeight="1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9"/>
      <c r="O85" s="8"/>
      <c r="P85" s="8"/>
    </row>
    <row r="86" ht="26.25" customHeight="1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9"/>
      <c r="O86" s="8"/>
      <c r="P86" s="8"/>
    </row>
    <row r="87" ht="26.25" customHeight="1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9"/>
      <c r="O87" s="8"/>
      <c r="P87" s="8"/>
    </row>
    <row r="88" ht="26.25" customHeight="1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9"/>
      <c r="O88" s="8"/>
      <c r="P88" s="8"/>
    </row>
    <row r="89" ht="26.25" customHeight="1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9"/>
      <c r="O89" s="8"/>
      <c r="P89" s="8"/>
    </row>
    <row r="90" ht="26.25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9"/>
      <c r="O90" s="8"/>
      <c r="P90" s="8"/>
    </row>
    <row r="91" ht="26.25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9"/>
      <c r="O91" s="8"/>
      <c r="P91" s="8"/>
    </row>
    <row r="92" ht="26.25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9"/>
      <c r="O92" s="8"/>
      <c r="P92" s="8"/>
    </row>
    <row r="93" ht="26.25" customHeight="1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9"/>
      <c r="O93" s="8"/>
      <c r="P93" s="8"/>
    </row>
    <row r="94" ht="26.25" customHeight="1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  <c r="O94" s="8"/>
      <c r="P94" s="8"/>
    </row>
    <row r="95" ht="26.25" customHeight="1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  <c r="O95" s="8"/>
      <c r="P95" s="8"/>
    </row>
    <row r="96" ht="26.25" customHeight="1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9"/>
      <c r="O96" s="8"/>
      <c r="P96" s="8"/>
    </row>
    <row r="97" ht="26.25" customHeight="1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9"/>
      <c r="O97" s="8"/>
      <c r="P97" s="8"/>
    </row>
    <row r="98" ht="26.25" customHeight="1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9"/>
      <c r="O98" s="8"/>
      <c r="P98" s="8"/>
    </row>
    <row r="99" ht="26.25" customHeight="1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9"/>
      <c r="O99" s="8"/>
      <c r="P99" s="8"/>
    </row>
    <row r="100" ht="26.25" customHeight="1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9"/>
      <c r="O100" s="8"/>
      <c r="P100" s="8"/>
    </row>
  </sheetData>
  <conditionalFormatting sqref="L7:O100">
    <cfRule type="cellIs" dxfId="0" priority="1" stopIfTrue="1" operator="equal">
      <formula>"Broken or requires correction"</formula>
    </cfRule>
  </conditionalFormatting>
  <conditionalFormatting sqref="L7:O100">
    <cfRule type="cellIs" dxfId="1" priority="2" stopIfTrue="1" operator="equal">
      <formula>"Approved and deployed"</formula>
    </cfRule>
  </conditionalFormatting>
  <conditionalFormatting sqref="L7:O100">
    <cfRule type="cellIs" dxfId="2" priority="3" stopIfTrue="1" operator="equal">
      <formula>"Tested"</formula>
    </cfRule>
  </conditionalFormatting>
  <conditionalFormatting sqref="L7:O100">
    <cfRule type="cellIs" dxfId="3" priority="4" stopIfTrue="1" operator="equal">
      <formula>"Needs review"</formula>
    </cfRule>
  </conditionalFormatting>
  <conditionalFormatting sqref="L7:O100">
    <cfRule type="cellIs" dxfId="4" priority="5" stopIfTrue="1" operator="equal">
      <formula>"In progress"</formula>
    </cfRule>
  </conditionalFormatting>
  <conditionalFormatting sqref="L7:O100">
    <cfRule type="cellIs" dxfId="5" priority="6" operator="equal">
      <formula>"Not started"</formula>
    </cfRule>
  </conditionalFormatting>
  <dataValidations>
    <dataValidation type="list" allowBlank="1" showErrorMessage="1" sqref="M7:M100">
      <formula1>"Claude,ChatGPT,Gemini,Manual"</formula1>
    </dataValidation>
    <dataValidation type="list" allowBlank="1" showErrorMessage="1" sqref="O7">
      <formula1>"Not tested,Desktop tested,Zoom tested,Approved"</formula1>
    </dataValidation>
    <dataValidation type="list" allowBlank="1" showErrorMessage="1" sqref="O8:O100">
      <formula1>"Not tested,Desktop tested,Zoom tested,Approved"</formula1>
    </dataValidation>
    <dataValidation type="list" allowBlank="1" showErrorMessage="1" sqref="L7:L100">
      <formula1>"Not started,Draft,Review,Tested,Approved,Deployed"</formula1>
    </dataValidation>
    <dataValidation type="list" allowBlank="1" showErrorMessage="1" sqref="C7:C100">
      <formula1>"Script,workbook,code,image,diagram,checklist,video,email"</formula1>
    </dataValidation>
  </dataValidations>
  <drawing r:id="rId1"/>
</worksheet>
</file>